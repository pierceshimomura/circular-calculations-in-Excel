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Ben\mtx data\"/>
    </mc:Choice>
  </mc:AlternateContent>
  <bookViews>
    <workbookView xWindow="0" yWindow="0" windowWidth="20490" windowHeight="891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" i="1" l="1"/>
  <c r="I19" i="1"/>
  <c r="J18" i="1"/>
  <c r="I18" i="1"/>
  <c r="M13" i="1"/>
  <c r="L22" i="1"/>
  <c r="L13" i="1"/>
  <c r="L19" i="1"/>
  <c r="L26" i="1"/>
  <c r="L18" i="1"/>
  <c r="L23" i="1"/>
  <c r="W8" i="1"/>
  <c r="N13" i="1" l="1"/>
</calcChain>
</file>

<file path=xl/sharedStrings.xml><?xml version="1.0" encoding="utf-8"?>
<sst xmlns="http://schemas.openxmlformats.org/spreadsheetml/2006/main" count="18" uniqueCount="17">
  <si>
    <t>degrees</t>
  </si>
  <si>
    <t>point1</t>
  </si>
  <si>
    <t>point2</t>
  </si>
  <si>
    <t>point3</t>
  </si>
  <si>
    <t>point4</t>
  </si>
  <si>
    <t>x</t>
  </si>
  <si>
    <t>y</t>
  </si>
  <si>
    <t>circ_r</t>
  </si>
  <si>
    <t>circmean</t>
  </si>
  <si>
    <t xml:space="preserve">put your </t>
  </si>
  <si>
    <t>circ_stdev</t>
  </si>
  <si>
    <t>angle</t>
  </si>
  <si>
    <t>absolute_angle</t>
  </si>
  <si>
    <t xml:space="preserve">data in </t>
  </si>
  <si>
    <t>the color</t>
  </si>
  <si>
    <t>column</t>
  </si>
  <si>
    <t>for first 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</si>
</sst>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quotePrefix="1"/>
    <xf numFmtId="0" fontId="0" fillId="2" borderId="0" xfId="0" applyFill="1"/>
    <xf numFmtId="0" fontId="1" fillId="0" borderId="0" xfId="0" quotePrefix="1" applyFont="1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Sheet1!$J$9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Sheet1!$I$10:$I$13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1</c:v>
                </c:pt>
              </c:numCache>
            </c:numRef>
          </c:xVal>
          <c:yVal>
            <c:numRef>
              <c:f>Sheet1!$J$10:$J$13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D5-4398-8E1C-9FC8F5783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294096"/>
        <c:axId val="1948214416"/>
      </c:scatterChart>
      <c:valAx>
        <c:axId val="200029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214416"/>
        <c:crosses val="autoZero"/>
        <c:crossBetween val="midCat"/>
      </c:valAx>
      <c:valAx>
        <c:axId val="194821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294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161924</xdr:rowOff>
    </xdr:from>
    <xdr:to>
      <xdr:col>3</xdr:col>
      <xdr:colOff>495300</xdr:colOff>
      <xdr:row>15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8:W26"/>
  <sheetViews>
    <sheetView tabSelected="1" workbookViewId="0">
      <selection activeCell="J5" sqref="J5"/>
    </sheetView>
  </sheetViews>
  <sheetFormatPr defaultRowHeight="15" x14ac:dyDescent="0.25"/>
  <cols>
    <col min="6" max="6" width="9.140625" style="2"/>
    <col min="12" max="12" width="12" bestFit="1" customWidth="1"/>
    <col min="13" max="13" width="16" customWidth="1"/>
  </cols>
  <sheetData>
    <row r="8" spans="5:23" ht="15.75" thickBot="1" x14ac:dyDescent="0.3">
      <c r="T8">
        <v>2</v>
      </c>
      <c r="U8">
        <v>2</v>
      </c>
      <c r="V8">
        <v>2</v>
      </c>
      <c r="W8">
        <f>SUMEVENNUMBERS(V8:V10)</f>
        <v>6</v>
      </c>
    </row>
    <row r="9" spans="5:23" ht="15.75" thickBot="1" x14ac:dyDescent="0.3">
      <c r="H9" s="5"/>
      <c r="I9" s="6" t="s">
        <v>5</v>
      </c>
      <c r="J9" s="7" t="s">
        <v>6</v>
      </c>
      <c r="T9">
        <v>3</v>
      </c>
      <c r="U9">
        <v>5</v>
      </c>
      <c r="V9">
        <v>4</v>
      </c>
    </row>
    <row r="10" spans="5:23" x14ac:dyDescent="0.25">
      <c r="H10" s="8" t="s">
        <v>1</v>
      </c>
      <c r="I10" s="5">
        <v>0</v>
      </c>
      <c r="J10" s="7">
        <v>0</v>
      </c>
      <c r="T10">
        <v>4</v>
      </c>
      <c r="U10">
        <v>7</v>
      </c>
      <c r="V10">
        <v>5</v>
      </c>
    </row>
    <row r="11" spans="5:23" x14ac:dyDescent="0.25">
      <c r="H11" s="10" t="s">
        <v>2</v>
      </c>
      <c r="I11" s="10">
        <v>-1</v>
      </c>
      <c r="J11" s="11">
        <v>1</v>
      </c>
      <c r="T11">
        <v>6</v>
      </c>
      <c r="U11">
        <v>4</v>
      </c>
      <c r="V11">
        <v>6</v>
      </c>
    </row>
    <row r="12" spans="5:23" x14ac:dyDescent="0.25">
      <c r="H12" s="8" t="s">
        <v>3</v>
      </c>
      <c r="I12" s="8">
        <v>-1</v>
      </c>
      <c r="J12" s="9">
        <v>1</v>
      </c>
      <c r="L12" s="4" t="s">
        <v>11</v>
      </c>
      <c r="M12" s="4" t="s">
        <v>12</v>
      </c>
      <c r="N12" t="s">
        <v>0</v>
      </c>
      <c r="T12">
        <v>2</v>
      </c>
      <c r="U12">
        <v>2</v>
      </c>
      <c r="V12">
        <v>34</v>
      </c>
    </row>
    <row r="13" spans="5:23" ht="15.75" thickBot="1" x14ac:dyDescent="0.3">
      <c r="H13" s="12" t="s">
        <v>4</v>
      </c>
      <c r="I13" s="12">
        <v>1</v>
      </c>
      <c r="J13" s="13">
        <v>2</v>
      </c>
      <c r="L13">
        <f>angle(I10,J10,I11,J11,I12,J12,I13,J13)</f>
        <v>-108.43494882292194</v>
      </c>
      <c r="M13">
        <f>absolute_angle(I10,J10,I11,J11)</f>
        <v>2.3561944901923417</v>
      </c>
      <c r="N13">
        <f>DEGREES(M13)</f>
        <v>134.99999999999983</v>
      </c>
      <c r="T13">
        <v>3</v>
      </c>
      <c r="U13">
        <v>4</v>
      </c>
      <c r="V13">
        <v>3</v>
      </c>
    </row>
    <row r="14" spans="5:23" x14ac:dyDescent="0.25">
      <c r="T14">
        <v>1</v>
      </c>
      <c r="U14">
        <v>5</v>
      </c>
      <c r="V14">
        <v>4</v>
      </c>
    </row>
    <row r="15" spans="5:23" x14ac:dyDescent="0.25">
      <c r="E15" t="s">
        <v>9</v>
      </c>
      <c r="F15" s="2">
        <v>1</v>
      </c>
      <c r="I15">
        <v>0</v>
      </c>
      <c r="J15">
        <v>179</v>
      </c>
      <c r="L15" s="1"/>
      <c r="T15">
        <v>2</v>
      </c>
      <c r="U15">
        <v>8</v>
      </c>
      <c r="V15">
        <v>7</v>
      </c>
    </row>
    <row r="16" spans="5:23" x14ac:dyDescent="0.25">
      <c r="E16" t="s">
        <v>11</v>
      </c>
      <c r="F16" s="2">
        <v>77</v>
      </c>
      <c r="L16" s="1"/>
      <c r="T16">
        <v>4</v>
      </c>
      <c r="U16">
        <v>9</v>
      </c>
      <c r="V16">
        <v>6</v>
      </c>
    </row>
    <row r="17" spans="5:22" x14ac:dyDescent="0.25">
      <c r="E17" t="s">
        <v>13</v>
      </c>
      <c r="F17" s="2">
        <v>88</v>
      </c>
      <c r="L17" s="3" t="s">
        <v>8</v>
      </c>
      <c r="T17">
        <v>0</v>
      </c>
      <c r="U17">
        <v>3</v>
      </c>
      <c r="V17">
        <v>5</v>
      </c>
    </row>
    <row r="18" spans="5:22" x14ac:dyDescent="0.25">
      <c r="E18" t="s">
        <v>14</v>
      </c>
      <c r="F18" s="2">
        <v>2</v>
      </c>
      <c r="I18">
        <f>RADIANS(I15)</f>
        <v>0</v>
      </c>
      <c r="J18">
        <f>RADIANS(J15)</f>
        <v>3.12413936106985</v>
      </c>
      <c r="L18">
        <f>circmean(F15:F21)</f>
        <v>56.342020339111734</v>
      </c>
      <c r="T18">
        <v>8</v>
      </c>
      <c r="U18">
        <v>2</v>
      </c>
      <c r="V18">
        <v>3</v>
      </c>
    </row>
    <row r="19" spans="5:22" x14ac:dyDescent="0.25">
      <c r="E19" t="s">
        <v>15</v>
      </c>
      <c r="F19" s="2">
        <v>190</v>
      </c>
      <c r="I19">
        <f>DEGREES(I18)</f>
        <v>0</v>
      </c>
      <c r="J19">
        <f>DEGREES(J18)</f>
        <v>179</v>
      </c>
      <c r="L19">
        <f>circmean(F15:F17:F19:F21)</f>
        <v>56.342020339111734</v>
      </c>
      <c r="T19">
        <v>6</v>
      </c>
      <c r="U19">
        <v>4</v>
      </c>
      <c r="V19">
        <v>2</v>
      </c>
    </row>
    <row r="20" spans="5:22" x14ac:dyDescent="0.25">
      <c r="E20" t="s">
        <v>16</v>
      </c>
      <c r="F20" s="2">
        <v>222</v>
      </c>
    </row>
    <row r="21" spans="5:22" x14ac:dyDescent="0.25">
      <c r="F21" s="2">
        <v>44</v>
      </c>
      <c r="L21" s="4" t="s">
        <v>7</v>
      </c>
    </row>
    <row r="22" spans="5:22" x14ac:dyDescent="0.25">
      <c r="L22">
        <f>circ_r(F15:F21)</f>
        <v>0.32231770196644405</v>
      </c>
    </row>
    <row r="23" spans="5:22" x14ac:dyDescent="0.25">
      <c r="L23" s="1">
        <f>circ_r(F15:F18:F20:F21)</f>
        <v>0.32231770196644405</v>
      </c>
    </row>
    <row r="25" spans="5:22" x14ac:dyDescent="0.25">
      <c r="L25" s="3" t="s">
        <v>10</v>
      </c>
    </row>
    <row r="26" spans="5:22" x14ac:dyDescent="0.25">
      <c r="L26" s="1">
        <f>circ_stdev(F15:F21)</f>
        <v>1.50480401899334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University of Texas at Austin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Pierce-Shimomura, Jonathan T</dc:creator>
  <cp:lastModifiedBy>Pierce, Jonathan T</cp:lastModifiedBy>
  <dcterms:created xsi:type="dcterms:W3CDTF">2017-08-21T19:39:50Z</dcterms:created>
  <dcterms:modified xsi:type="dcterms:W3CDTF">2017-09-15T22:47:25Z</dcterms:modified>
</cp:coreProperties>
</file>